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ver\Documents\Hobby\Differential Probe\Slim Diff Probe\diffProbe10MHz\"/>
    </mc:Choice>
  </mc:AlternateContent>
  <xr:revisionPtr revIDLastSave="0" documentId="13_ncr:1_{8D2467EA-D71E-49B6-B41C-22F1DD590F34}" xr6:coauthVersionLast="47" xr6:coauthVersionMax="47" xr10:uidLastSave="{00000000-0000-0000-0000-000000000000}"/>
  <bookViews>
    <workbookView xWindow="705" yWindow="225" windowWidth="21600" windowHeight="17175" xr2:uid="{9D80A807-3A37-4411-930D-28E654BC5716}"/>
  </bookViews>
  <sheets>
    <sheet name="diffProbe10MHz (2)" sheetId="1" r:id="rId1"/>
  </sheets>
  <calcPr calcId="181029"/>
</workbook>
</file>

<file path=xl/calcChain.xml><?xml version="1.0" encoding="utf-8"?>
<calcChain xmlns="http://schemas.openxmlformats.org/spreadsheetml/2006/main">
  <c r="L17" i="1" l="1"/>
  <c r="L3" i="1"/>
  <c r="L4" i="1"/>
  <c r="L5" i="1"/>
  <c r="L6" i="1"/>
  <c r="L7" i="1"/>
  <c r="L8" i="1"/>
  <c r="L9" i="1"/>
  <c r="L10" i="1"/>
  <c r="L11" i="1"/>
  <c r="L12" i="1"/>
  <c r="L13" i="1"/>
  <c r="L16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2" i="1"/>
</calcChain>
</file>

<file path=xl/sharedStrings.xml><?xml version="1.0" encoding="utf-8"?>
<sst xmlns="http://schemas.openxmlformats.org/spreadsheetml/2006/main" count="270" uniqueCount="223">
  <si>
    <t>,</t>
  </si>
  <si>
    <t>References</t>
  </si>
  <si>
    <t>Value</t>
  </si>
  <si>
    <t>Footprint</t>
  </si>
  <si>
    <t>tolerance</t>
  </si>
  <si>
    <t>Voltage</t>
  </si>
  <si>
    <t>tempco</t>
  </si>
  <si>
    <t>Source</t>
  </si>
  <si>
    <t>Digikey Part #</t>
  </si>
  <si>
    <t>LCSC Part #</t>
  </si>
  <si>
    <t>Quantity</t>
  </si>
  <si>
    <t>C1, C2, C3, C4, C5, C6, C7, C8</t>
  </si>
  <si>
    <t>20p</t>
  </si>
  <si>
    <t>C_0603_1608Metric</t>
  </si>
  <si>
    <t>&gt;200V</t>
  </si>
  <si>
    <t>NP0</t>
  </si>
  <si>
    <t>https://www.digikey.com/en/products/detail/cal-chip-electronics-inc/CHV0603N250200FCT/22155314</t>
  </si>
  <si>
    <t>4713-CHV0603N250200FCT-ND</t>
  </si>
  <si>
    <t>C22, C25, C27, C29, C31</t>
  </si>
  <si>
    <t>100n</t>
  </si>
  <si>
    <t>C_0402_1005Metric</t>
  </si>
  <si>
    <t>50V</t>
  </si>
  <si>
    <t>X7R</t>
  </si>
  <si>
    <t>https://www.digikey.com/en/products/detail/kyocera-avx/KGM05CR71H104KH/6564238</t>
  </si>
  <si>
    <t>478-KGM05CR71H104KHCT-ND</t>
  </si>
  <si>
    <t>C307331</t>
  </si>
  <si>
    <t>C9, C10, C13, C14</t>
  </si>
  <si>
    <t>220p</t>
  </si>
  <si>
    <t>C_0805_2012Metric</t>
  </si>
  <si>
    <t>COG/NP0</t>
  </si>
  <si>
    <t>https://www.digikey.com/en/products/detail/yageo/CC0805FRNPO9BN221/5883936</t>
  </si>
  <si>
    <t>311-4172-1-ND</t>
  </si>
  <si>
    <t>C541563</t>
  </si>
  <si>
    <t>C20, C24, C26, C28</t>
  </si>
  <si>
    <t>10n</t>
  </si>
  <si>
    <t>https://www.digikey.com/en/products/detail/kemet/C0402C103K5RACTU/501968</t>
  </si>
  <si>
    <t>399-C0402C103K5RACTUCT-ND</t>
  </si>
  <si>
    <t>C15195</t>
  </si>
  <si>
    <t>C23, C30, C33</t>
  </si>
  <si>
    <t>2.2u</t>
  </si>
  <si>
    <t>X5R</t>
  </si>
  <si>
    <t>https://www.digikey.com/en/products/detail/murata-electronics/GRM188R6YA225MA12D/5027571</t>
  </si>
  <si>
    <t>490-10486-1-ND</t>
  </si>
  <si>
    <t>C77047</t>
  </si>
  <si>
    <t>C11, C12</t>
  </si>
  <si>
    <t>30p</t>
  </si>
  <si>
    <t>https://www.digikey.com/en/products/detail/stackpole-electronics-inc/CML0603C0G300JT50V/10659967</t>
  </si>
  <si>
    <t>738-CML0603C0G300JT50VCT-ND</t>
  </si>
  <si>
    <t>C1658</t>
  </si>
  <si>
    <t>C15, C16</t>
  </si>
  <si>
    <t>8-29p</t>
  </si>
  <si>
    <t>C_Trimmer_Voltronics_JR</t>
  </si>
  <si>
    <t>https://www.digikey.com/en/products/detail/ew-electronics/SGC3S300NM/11689290</t>
  </si>
  <si>
    <t>2447-SGC3S300NMCT-ND</t>
  </si>
  <si>
    <t>C17, C18</t>
  </si>
  <si>
    <t>1p</t>
  </si>
  <si>
    <t>https://www.digikey.com/en/products/detail/yageo/CC0402CPNPO9BN1R0/11489907</t>
  </si>
  <si>
    <t>13-CC0402CPNPO9BN1R0CT-ND</t>
  </si>
  <si>
    <t>C1550</t>
  </si>
  <si>
    <t>C19, C21</t>
  </si>
  <si>
    <t>2p</t>
  </si>
  <si>
    <t>https://www.digikey.com/en/products/detail/yageo/CC0402CPNPO9BN2R0/11489528</t>
  </si>
  <si>
    <t>13-CC0402CPNPO9BN2R0CT-ND</t>
  </si>
  <si>
    <t>C1558</t>
  </si>
  <si>
    <t>C32, C34</t>
  </si>
  <si>
    <t>1u</t>
  </si>
  <si>
    <t>https://www.digikey.com/en/products/detail/murata-electronics/GRM155R61H105KE05D/13531808</t>
  </si>
  <si>
    <t>490-GRM155R61H105KE05DCT-ND</t>
  </si>
  <si>
    <t>C52923</t>
  </si>
  <si>
    <t>C35, C36</t>
  </si>
  <si>
    <t>4.7u</t>
  </si>
  <si>
    <t>25V</t>
  </si>
  <si>
    <t>https://www.digikey.com/en/products/detail/murata-electronics/GRM188R61E475KE11D/3900465</t>
  </si>
  <si>
    <t>490-7203-1-ND</t>
  </si>
  <si>
    <t>C19666</t>
  </si>
  <si>
    <t>R1, R2, R3, R4, R5, R6, R7, R8</t>
  </si>
  <si>
    <t>1.24Meg</t>
  </si>
  <si>
    <t>R_0805_2012Metric</t>
  </si>
  <si>
    <t>https://www.digikey.com/en/products/detail/yageo/RC0805FR-071M24L/727473</t>
  </si>
  <si>
    <t>311-1.24MCRCT-ND</t>
  </si>
  <si>
    <t>C409955</t>
  </si>
  <si>
    <t>2k</t>
  </si>
  <si>
    <t>1k</t>
  </si>
  <si>
    <t>R_0603_1608Metric</t>
  </si>
  <si>
    <t>https://www.digikey.com/en/products/detail/susumu/RG1608P-102-B-T5/1240449</t>
  </si>
  <si>
    <t>RG16P1.0KBCT-ND</t>
  </si>
  <si>
    <t>R9, R11</t>
  </si>
  <si>
    <t>47.5k</t>
  </si>
  <si>
    <t>https://www.digikey.com/en/products/detail/yageo/RC0603FR-0747K5L/727255</t>
  </si>
  <si>
    <t>311-47.5KHRCT-ND</t>
  </si>
  <si>
    <t>C23061</t>
  </si>
  <si>
    <t>R10, R12</t>
  </si>
  <si>
    <t>1.6k</t>
  </si>
  <si>
    <t>https://www.digikey.com/en/products/detail/bourns-inc/CR0603-FX-1601ELF/3783762</t>
  </si>
  <si>
    <t>CR0603-FX-1601ELFCT-ND</t>
  </si>
  <si>
    <t>C22847</t>
  </si>
  <si>
    <t>R13, R14</t>
  </si>
  <si>
    <t>https://www.digikey.com/en/products/detail/yageo/RC0603FR-0722RL/727055</t>
  </si>
  <si>
    <t>311-22.0HRCT-ND</t>
  </si>
  <si>
    <t>C23345</t>
  </si>
  <si>
    <t>R16, R17</t>
  </si>
  <si>
    <t>1.5k</t>
  </si>
  <si>
    <t>https://www.digikey.com/en/products/detail/stackpole-electronics-inc/RMCF0603FT1K50/1761186</t>
  </si>
  <si>
    <t>RMCF0603FT1K50CT-ND</t>
  </si>
  <si>
    <t>C22843</t>
  </si>
  <si>
    <t>R26, R27</t>
  </si>
  <si>
    <t>10k</t>
  </si>
  <si>
    <t>https://www.digikey.com/en/products/detail/yageo/RT0603FRE0710KL/1075040</t>
  </si>
  <si>
    <t>YAG2321CT-ND</t>
  </si>
  <si>
    <t>C25804</t>
  </si>
  <si>
    <t>R30, R31</t>
  </si>
  <si>
    <t>https://www.digikey.com/en/products/detail/yageo/RC0603JR-071RL/726676</t>
  </si>
  <si>
    <t>311-1.0GRCT-ND</t>
  </si>
  <si>
    <t>C22936</t>
  </si>
  <si>
    <t>R15</t>
  </si>
  <si>
    <t>https://www.digikey.com/en/products/detail/yageo/AC0603FR-07750RL/5896283</t>
  </si>
  <si>
    <t>YAG3628CT-ND</t>
  </si>
  <si>
    <t>C23241</t>
  </si>
  <si>
    <t>R20</t>
  </si>
  <si>
    <t>1.96k</t>
  </si>
  <si>
    <t>0.1%</t>
  </si>
  <si>
    <t>25ppm/C</t>
  </si>
  <si>
    <t>https://www.digikey.com/en/products/detail/panasonic-electronic-components/ERA-3AEB1961V/2026773</t>
  </si>
  <si>
    <t>P1.96KDBCT-ND</t>
  </si>
  <si>
    <t>C861213</t>
  </si>
  <si>
    <t>R22</t>
  </si>
  <si>
    <t>https://www.digikey.com/en/products/detail/yageo/RC0603FR-0751RL/727281</t>
  </si>
  <si>
    <t>311-51.0HRCT-ND</t>
  </si>
  <si>
    <t>C23197</t>
  </si>
  <si>
    <t>R23</t>
  </si>
  <si>
    <t>12k</t>
  </si>
  <si>
    <t>https://www.digikey.com/en/products/detail/stackpole-electronics-inc/RMCF0603FT12K0/1761297</t>
  </si>
  <si>
    <t>RMCF0603FT12K0CT-ND</t>
  </si>
  <si>
    <t>C22790</t>
  </si>
  <si>
    <t>R24</t>
  </si>
  <si>
    <t>https://www.digikey.com/en/products/detail/yageo/RC0603FR-0739RL/727194</t>
  </si>
  <si>
    <t>311-39.0HRCT-ND</t>
  </si>
  <si>
    <t>C23154</t>
  </si>
  <si>
    <t>R32</t>
  </si>
  <si>
    <t>https://www.digikey.com/en/products/detail/yageo/RC0603JR-073RL/726753</t>
  </si>
  <si>
    <t>311-3.0GRCT-ND</t>
  </si>
  <si>
    <t xml:space="preserve">C23157 </t>
  </si>
  <si>
    <t>D1, D2</t>
  </si>
  <si>
    <t>BAV199</t>
  </si>
  <si>
    <t>SOT-23W</t>
  </si>
  <si>
    <t>https://www.digikey.com/en/products/detail/diotec-semiconductor/BAV199/13164606</t>
  </si>
  <si>
    <t>4878-BAV199CT-ND</t>
  </si>
  <si>
    <t>C68971</t>
  </si>
  <si>
    <t>D3</t>
  </si>
  <si>
    <t>LED</t>
  </si>
  <si>
    <t>LED_0603_1608Metric</t>
  </si>
  <si>
    <t>https://www.digikey.com/en/products/detail/inolux/IN-S63BT5UW/7604936</t>
  </si>
  <si>
    <t>1830-1070-1-ND</t>
  </si>
  <si>
    <t>C2290</t>
  </si>
  <si>
    <t>U1</t>
  </si>
  <si>
    <t>OPA2810IDGKR</t>
  </si>
  <si>
    <t>MSOP-8-1EP_3x3mm_P0.65mm_EP1.68x1.88mm</t>
  </si>
  <si>
    <t>https://www.digikey.com/en/products/detail/texas-instruments/OPA2810IDGKR/9489204</t>
  </si>
  <si>
    <t>296-50210-1-ND</t>
  </si>
  <si>
    <t>C2864204</t>
  </si>
  <si>
    <t>U2</t>
  </si>
  <si>
    <t>OPA810IDBVR</t>
  </si>
  <si>
    <t>TSOT-23-6</t>
  </si>
  <si>
    <t>https://www.digikey.com/en/products/detail/texas-instruments/OPA810IDBVR/15856819</t>
  </si>
  <si>
    <t>296-OPA810IDBVRCT-ND</t>
  </si>
  <si>
    <t>C2833513</t>
  </si>
  <si>
    <t>U4</t>
  </si>
  <si>
    <t>LM7301DBV</t>
  </si>
  <si>
    <t>SOT-23-5</t>
  </si>
  <si>
    <t>https://www.digikey.com/en/products/detail/texas-instruments/LM7301IM5X-NOPB/367325</t>
  </si>
  <si>
    <t>LM7301IM5X/NOPBCT-ND</t>
  </si>
  <si>
    <t>C468181</t>
  </si>
  <si>
    <t>FB1, FB2</t>
  </si>
  <si>
    <t>FerriteBead</t>
  </si>
  <si>
    <t>L_0603_1608Metric</t>
  </si>
  <si>
    <t>https://www.digikey.com/en/products/detail/MPZ1608S102ATA00/445-8694-1-ND/3078632?itemSeq=313936277</t>
  </si>
  <si>
    <t>445-MPZ1608S102ATA00CT-ND</t>
  </si>
  <si>
    <t>C76814</t>
  </si>
  <si>
    <t>J1</t>
  </si>
  <si>
    <t>SMA</t>
  </si>
  <si>
    <t>SMA_Samtec_SMA-J-P-H-ST-EM1_EdgeMount</t>
  </si>
  <si>
    <t>https://www.digikey.com/en/products/detail/samtec-inc/SMA-J-P-H-ST-EM1/2602450</t>
  </si>
  <si>
    <t>SAM8857-ND</t>
  </si>
  <si>
    <t>C496550</t>
  </si>
  <si>
    <t>J2</t>
  </si>
  <si>
    <t>5.08 mm spacing pin header</t>
  </si>
  <si>
    <t>PinHeader_1x03_P2.54mm_Horizontal</t>
  </si>
  <si>
    <t>https://www.digikey.nl/nl/products/detail/adam-tech/PH1RB-03-UA/9830403</t>
  </si>
  <si>
    <t>2057-PH1RB-03-UA-ND</t>
  </si>
  <si>
    <t>C3335189</t>
  </si>
  <si>
    <t>J3</t>
  </si>
  <si>
    <t>PinHeader_1x01_P2.54mm_Vertical</t>
  </si>
  <si>
    <t>https://www.digikey.nl/nl/products/detail/adam-tech/PH1-01-UA/9830231</t>
  </si>
  <si>
    <t>2057-PH1-01-UA-ND</t>
  </si>
  <si>
    <t>C2932699</t>
  </si>
  <si>
    <t>J4</t>
  </si>
  <si>
    <t>±0.25p</t>
  </si>
  <si>
    <t>13a</t>
  </si>
  <si>
    <t>R21, R25, R28</t>
  </si>
  <si>
    <t>https://www.digikey.com/en/products/detail/panasonic-electronic-components/ERA-3AEB202V/1465861</t>
  </si>
  <si>
    <t>P2.0KDBCT-ND</t>
  </si>
  <si>
    <t>C136954</t>
  </si>
  <si>
    <t>RV1, RV2</t>
  </si>
  <si>
    <t>Potentiometer_Bourns_3224J_Horizontal</t>
  </si>
  <si>
    <t>https://www.digikey.com/en/products/detail/bourns-inc/TC33X-2-202E/612860</t>
  </si>
  <si>
    <t>C720647</t>
  </si>
  <si>
    <t>22R</t>
  </si>
  <si>
    <t>1R</t>
  </si>
  <si>
    <t>750R</t>
  </si>
  <si>
    <t>51R</t>
  </si>
  <si>
    <t>39R</t>
  </si>
  <si>
    <t>3R</t>
  </si>
  <si>
    <t>C3273429,  
C22468123</t>
  </si>
  <si>
    <t>14a</t>
  </si>
  <si>
    <t xml:space="preserve"> R29</t>
  </si>
  <si>
    <t>C21190</t>
  </si>
  <si>
    <t>R18, R19</t>
  </si>
  <si>
    <t>C110776</t>
  </si>
  <si>
    <t>TC33X-202ECT-ND</t>
  </si>
  <si>
    <t>Recommendations:</t>
  </si>
  <si>
    <t>Source C17, C18, C19 and C21 from DigiKey due to problems with the LCSC parts that we experienced</t>
  </si>
  <si>
    <t>-V</t>
  </si>
  <si>
    <t>+V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</si>
</sst>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18" fillId="0" borderId="0" xfId="42"/>
    <xf numFmtId="0" fontId="0" fillId="0" borderId="0" xfId="0" applyAlignment="1">
      <alignment wrapText="1"/>
    </xf>
    <xf numFmtId="0" fontId="16" fillId="0" borderId="0" xfId="0" applyFont="1"/>
    <xf numFmtId="0" fontId="0" fillId="0" borderId="0" xfId="0" quotePrefix="1"/>
    <xf numFmtId="0" fontId="0" fillId="0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Hyperlink" xfId="42" builtinId="8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bourns-inc/TC33X-2-202E/612860" TargetMode="External"/><Relationship Id="rId1" Type="http://schemas.openxmlformats.org/officeDocument/2006/relationships/hyperlink" Target="https://www.digikey.com/en/products/detail/panasonic-electronic-components/ERA-3AEB202V/14658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3D4F-6F78-4358-B0C5-C758318325E0}">
  <dimension ref="A1:L43"/>
  <sheetViews>
    <sheetView tabSelected="1" workbookViewId="0">
      <selection activeCell="E20" sqref="E20"/>
    </sheetView>
  </sheetViews>
  <sheetFormatPr defaultRowHeight="15" x14ac:dyDescent="0.25"/>
  <cols>
    <col min="2" max="2" width="25.7109375" bestFit="1" customWidth="1"/>
    <col min="4" max="4" width="38.85546875" customWidth="1"/>
    <col min="5" max="5" width="9.140625" style="2"/>
    <col min="6" max="6" width="9.140625" style="1"/>
    <col min="7" max="7" width="13.28515625" customWidth="1"/>
    <col min="9" max="9" width="31.140625" bestFit="1" customWidth="1"/>
    <col min="10" max="10" width="16.42578125" bestFit="1" customWidth="1"/>
    <col min="11" max="11" width="0" hidden="1" customWidth="1"/>
    <col min="12" max="12" width="9.140625" style="1"/>
  </cols>
  <sheetData>
    <row r="1" spans="1:12" x14ac:dyDescent="0.25"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s="1" t="s">
        <v>10</v>
      </c>
    </row>
    <row r="2" spans="1:12" x14ac:dyDescent="0.25">
      <c r="A2">
        <v>1</v>
      </c>
      <c r="B2" t="s">
        <v>11</v>
      </c>
      <c r="C2" t="s">
        <v>12</v>
      </c>
      <c r="D2" t="s">
        <v>13</v>
      </c>
      <c r="E2" s="3">
        <v>0.01</v>
      </c>
      <c r="F2" s="1" t="s">
        <v>14</v>
      </c>
      <c r="G2" t="s">
        <v>15</v>
      </c>
      <c r="H2" t="s">
        <v>16</v>
      </c>
      <c r="I2" t="s">
        <v>17</v>
      </c>
      <c r="K2">
        <v>0.8</v>
      </c>
      <c r="L2" s="1">
        <f>K2*10</f>
        <v>8</v>
      </c>
    </row>
    <row r="3" spans="1:12" x14ac:dyDescent="0.25">
      <c r="A3">
        <v>2</v>
      </c>
      <c r="B3" t="s">
        <v>18</v>
      </c>
      <c r="C3" t="s">
        <v>19</v>
      </c>
      <c r="D3" t="s">
        <v>20</v>
      </c>
      <c r="E3" s="3">
        <v>0.1</v>
      </c>
      <c r="F3" s="1" t="s">
        <v>21</v>
      </c>
      <c r="G3" t="s">
        <v>22</v>
      </c>
      <c r="H3" t="s">
        <v>23</v>
      </c>
      <c r="I3" t="s">
        <v>24</v>
      </c>
      <c r="J3" t="s">
        <v>25</v>
      </c>
      <c r="K3">
        <v>0.5</v>
      </c>
      <c r="L3" s="1">
        <f t="shared" ref="L3:L39" si="0">K3*10</f>
        <v>5</v>
      </c>
    </row>
    <row r="4" spans="1:12" x14ac:dyDescent="0.25">
      <c r="A4">
        <v>3</v>
      </c>
      <c r="B4" t="s">
        <v>26</v>
      </c>
      <c r="C4" t="s">
        <v>27</v>
      </c>
      <c r="D4" t="s">
        <v>28</v>
      </c>
      <c r="E4" s="3">
        <v>0.01</v>
      </c>
      <c r="F4" s="1" t="s">
        <v>21</v>
      </c>
      <c r="G4" t="s">
        <v>29</v>
      </c>
      <c r="H4" t="s">
        <v>30</v>
      </c>
      <c r="I4" t="s">
        <v>31</v>
      </c>
      <c r="J4" t="s">
        <v>32</v>
      </c>
      <c r="K4">
        <v>0.4</v>
      </c>
      <c r="L4" s="1">
        <f t="shared" si="0"/>
        <v>4</v>
      </c>
    </row>
    <row r="5" spans="1:12" x14ac:dyDescent="0.25">
      <c r="A5">
        <v>4</v>
      </c>
      <c r="B5" t="s">
        <v>33</v>
      </c>
      <c r="C5" t="s">
        <v>34</v>
      </c>
      <c r="D5" t="s">
        <v>20</v>
      </c>
      <c r="E5" s="3">
        <v>0.1</v>
      </c>
      <c r="F5" s="1" t="s">
        <v>21</v>
      </c>
      <c r="G5" t="s">
        <v>22</v>
      </c>
      <c r="H5" t="s">
        <v>35</v>
      </c>
      <c r="I5" t="s">
        <v>36</v>
      </c>
      <c r="J5" t="s">
        <v>37</v>
      </c>
      <c r="K5">
        <v>0.4</v>
      </c>
      <c r="L5" s="1">
        <f t="shared" si="0"/>
        <v>4</v>
      </c>
    </row>
    <row r="6" spans="1:12" x14ac:dyDescent="0.25">
      <c r="A6">
        <v>5</v>
      </c>
      <c r="B6" t="s">
        <v>38</v>
      </c>
      <c r="C6" t="s">
        <v>39</v>
      </c>
      <c r="D6" t="s">
        <v>13</v>
      </c>
      <c r="E6" s="3">
        <v>0.2</v>
      </c>
      <c r="F6" s="8" t="s">
        <v>71</v>
      </c>
      <c r="G6" t="s">
        <v>40</v>
      </c>
      <c r="H6" t="s">
        <v>41</v>
      </c>
      <c r="I6" t="s">
        <v>42</v>
      </c>
      <c r="J6" t="s">
        <v>43</v>
      </c>
      <c r="K6">
        <v>0.3</v>
      </c>
      <c r="L6" s="1">
        <f t="shared" si="0"/>
        <v>3</v>
      </c>
    </row>
    <row r="7" spans="1:12" x14ac:dyDescent="0.25">
      <c r="A7">
        <v>6</v>
      </c>
      <c r="B7" t="s">
        <v>44</v>
      </c>
      <c r="C7" t="s">
        <v>45</v>
      </c>
      <c r="D7" t="s">
        <v>13</v>
      </c>
      <c r="E7" s="3">
        <v>0.05</v>
      </c>
      <c r="F7" s="1" t="s">
        <v>21</v>
      </c>
      <c r="G7" t="s">
        <v>29</v>
      </c>
      <c r="H7" t="s">
        <v>46</v>
      </c>
      <c r="I7" t="s">
        <v>47</v>
      </c>
      <c r="J7" t="s">
        <v>48</v>
      </c>
      <c r="K7">
        <v>0.2</v>
      </c>
      <c r="L7" s="1">
        <f t="shared" si="0"/>
        <v>2</v>
      </c>
    </row>
    <row r="8" spans="1:12" ht="30" x14ac:dyDescent="0.25">
      <c r="A8">
        <v>7</v>
      </c>
      <c r="B8" t="s">
        <v>49</v>
      </c>
      <c r="C8" t="s">
        <v>50</v>
      </c>
      <c r="D8" t="s">
        <v>51</v>
      </c>
      <c r="H8" t="s">
        <v>52</v>
      </c>
      <c r="I8" t="s">
        <v>53</v>
      </c>
      <c r="J8" s="5" t="s">
        <v>212</v>
      </c>
      <c r="K8">
        <v>0.2</v>
      </c>
      <c r="L8" s="1">
        <f t="shared" si="0"/>
        <v>2</v>
      </c>
    </row>
    <row r="9" spans="1:12" x14ac:dyDescent="0.25">
      <c r="A9">
        <v>8</v>
      </c>
      <c r="B9" t="s">
        <v>54</v>
      </c>
      <c r="C9" t="s">
        <v>55</v>
      </c>
      <c r="D9" t="s">
        <v>20</v>
      </c>
      <c r="E9" s="2" t="s">
        <v>196</v>
      </c>
      <c r="F9" s="1" t="s">
        <v>21</v>
      </c>
      <c r="G9" t="s">
        <v>29</v>
      </c>
      <c r="H9" t="s">
        <v>56</v>
      </c>
      <c r="I9" t="s">
        <v>57</v>
      </c>
      <c r="J9" t="s">
        <v>58</v>
      </c>
      <c r="K9">
        <v>0.2</v>
      </c>
      <c r="L9" s="1">
        <f t="shared" si="0"/>
        <v>2</v>
      </c>
    </row>
    <row r="10" spans="1:12" x14ac:dyDescent="0.25">
      <c r="A10">
        <v>9</v>
      </c>
      <c r="B10" t="s">
        <v>59</v>
      </c>
      <c r="C10" t="s">
        <v>60</v>
      </c>
      <c r="D10" t="s">
        <v>20</v>
      </c>
      <c r="E10" s="2" t="s">
        <v>196</v>
      </c>
      <c r="F10" s="1" t="s">
        <v>21</v>
      </c>
      <c r="G10" t="s">
        <v>29</v>
      </c>
      <c r="H10" t="s">
        <v>61</v>
      </c>
      <c r="I10" t="s">
        <v>62</v>
      </c>
      <c r="J10" t="s">
        <v>63</v>
      </c>
      <c r="K10">
        <v>0.2</v>
      </c>
      <c r="L10" s="1">
        <f t="shared" si="0"/>
        <v>2</v>
      </c>
    </row>
    <row r="11" spans="1:12" x14ac:dyDescent="0.25">
      <c r="A11">
        <v>10</v>
      </c>
      <c r="B11" t="s">
        <v>64</v>
      </c>
      <c r="C11" t="s">
        <v>65</v>
      </c>
      <c r="D11" t="s">
        <v>20</v>
      </c>
      <c r="E11" s="3">
        <v>0.1</v>
      </c>
      <c r="F11" s="8" t="s">
        <v>71</v>
      </c>
      <c r="G11" t="s">
        <v>40</v>
      </c>
      <c r="H11" t="s">
        <v>66</v>
      </c>
      <c r="I11" t="s">
        <v>67</v>
      </c>
      <c r="J11" t="s">
        <v>68</v>
      </c>
      <c r="K11">
        <v>0.2</v>
      </c>
      <c r="L11" s="1">
        <f t="shared" si="0"/>
        <v>2</v>
      </c>
    </row>
    <row r="12" spans="1:12" x14ac:dyDescent="0.25">
      <c r="A12">
        <v>11</v>
      </c>
      <c r="B12" t="s">
        <v>69</v>
      </c>
      <c r="C12" t="s">
        <v>70</v>
      </c>
      <c r="D12" t="s">
        <v>13</v>
      </c>
      <c r="E12" s="3">
        <v>0.2</v>
      </c>
      <c r="F12" s="1" t="s">
        <v>71</v>
      </c>
      <c r="G12" t="s">
        <v>40</v>
      </c>
      <c r="H12" t="s">
        <v>72</v>
      </c>
      <c r="I12" t="s">
        <v>73</v>
      </c>
      <c r="J12" t="s">
        <v>74</v>
      </c>
      <c r="K12">
        <v>0.2</v>
      </c>
      <c r="L12" s="1">
        <f t="shared" si="0"/>
        <v>2</v>
      </c>
    </row>
    <row r="13" spans="1:12" x14ac:dyDescent="0.25">
      <c r="A13">
        <v>12</v>
      </c>
      <c r="B13" t="s">
        <v>75</v>
      </c>
      <c r="C13" t="s">
        <v>76</v>
      </c>
      <c r="D13" t="s">
        <v>77</v>
      </c>
      <c r="E13" s="3">
        <v>0.01</v>
      </c>
      <c r="H13" t="s">
        <v>78</v>
      </c>
      <c r="I13" t="s">
        <v>79</v>
      </c>
      <c r="J13" t="s">
        <v>80</v>
      </c>
      <c r="K13">
        <v>0.8</v>
      </c>
      <c r="L13" s="1">
        <f t="shared" si="0"/>
        <v>8</v>
      </c>
    </row>
    <row r="14" spans="1:12" x14ac:dyDescent="0.25">
      <c r="A14">
        <v>13</v>
      </c>
      <c r="B14" t="s">
        <v>198</v>
      </c>
      <c r="C14" t="s">
        <v>81</v>
      </c>
      <c r="D14" t="s">
        <v>83</v>
      </c>
      <c r="E14" s="2" t="s">
        <v>120</v>
      </c>
      <c r="G14" t="s">
        <v>121</v>
      </c>
      <c r="H14" s="4" t="s">
        <v>199</v>
      </c>
      <c r="I14" t="s">
        <v>200</v>
      </c>
      <c r="J14" t="s">
        <v>201</v>
      </c>
      <c r="K14">
        <v>0.5</v>
      </c>
      <c r="L14" s="1">
        <v>3</v>
      </c>
    </row>
    <row r="15" spans="1:12" x14ac:dyDescent="0.25">
      <c r="A15" s="2" t="s">
        <v>197</v>
      </c>
      <c r="B15" t="s">
        <v>202</v>
      </c>
      <c r="C15" t="s">
        <v>81</v>
      </c>
      <c r="D15" t="s">
        <v>203</v>
      </c>
      <c r="E15" s="3">
        <v>0.2</v>
      </c>
      <c r="H15" s="4" t="s">
        <v>204</v>
      </c>
      <c r="I15" t="s">
        <v>218</v>
      </c>
      <c r="J15" t="s">
        <v>205</v>
      </c>
      <c r="K15">
        <v>0.5</v>
      </c>
      <c r="L15" s="1">
        <v>2</v>
      </c>
    </row>
    <row r="16" spans="1:12" x14ac:dyDescent="0.25">
      <c r="A16">
        <v>14</v>
      </c>
      <c r="B16" t="s">
        <v>216</v>
      </c>
      <c r="C16" t="s">
        <v>82</v>
      </c>
      <c r="D16" t="s">
        <v>83</v>
      </c>
      <c r="E16" s="2" t="s">
        <v>120</v>
      </c>
      <c r="G16" t="s">
        <v>121</v>
      </c>
      <c r="H16" t="s">
        <v>84</v>
      </c>
      <c r="I16" t="s">
        <v>85</v>
      </c>
      <c r="J16" t="s">
        <v>217</v>
      </c>
      <c r="K16">
        <v>0.3</v>
      </c>
      <c r="L16" s="1">
        <f t="shared" si="0"/>
        <v>3</v>
      </c>
    </row>
    <row r="17" spans="1:12" x14ac:dyDescent="0.25">
      <c r="A17" s="2" t="s">
        <v>213</v>
      </c>
      <c r="B17" t="s">
        <v>214</v>
      </c>
      <c r="C17" t="s">
        <v>82</v>
      </c>
      <c r="D17" t="s">
        <v>83</v>
      </c>
      <c r="E17" s="3">
        <v>0.01</v>
      </c>
      <c r="H17" t="s">
        <v>84</v>
      </c>
      <c r="I17" t="s">
        <v>85</v>
      </c>
      <c r="J17" t="s">
        <v>215</v>
      </c>
      <c r="K17">
        <v>0.3</v>
      </c>
      <c r="L17" s="1">
        <f t="shared" si="0"/>
        <v>3</v>
      </c>
    </row>
    <row r="18" spans="1:12" x14ac:dyDescent="0.25">
      <c r="A18">
        <v>15</v>
      </c>
      <c r="B18" t="s">
        <v>86</v>
      </c>
      <c r="C18" t="s">
        <v>87</v>
      </c>
      <c r="D18" t="s">
        <v>83</v>
      </c>
      <c r="E18" s="3">
        <v>0.01</v>
      </c>
      <c r="H18" t="s">
        <v>88</v>
      </c>
      <c r="I18" t="s">
        <v>89</v>
      </c>
      <c r="J18" t="s">
        <v>90</v>
      </c>
      <c r="K18">
        <v>0.2</v>
      </c>
      <c r="L18" s="1">
        <f t="shared" si="0"/>
        <v>2</v>
      </c>
    </row>
    <row r="19" spans="1:12" x14ac:dyDescent="0.25">
      <c r="A19">
        <v>16</v>
      </c>
      <c r="B19" t="s">
        <v>91</v>
      </c>
      <c r="C19" t="s">
        <v>92</v>
      </c>
      <c r="D19" t="s">
        <v>83</v>
      </c>
      <c r="E19" s="3">
        <v>0.01</v>
      </c>
      <c r="H19" t="s">
        <v>93</v>
      </c>
      <c r="I19" t="s">
        <v>94</v>
      </c>
      <c r="J19" t="s">
        <v>95</v>
      </c>
      <c r="K19">
        <v>0.2</v>
      </c>
      <c r="L19" s="1">
        <f t="shared" si="0"/>
        <v>2</v>
      </c>
    </row>
    <row r="20" spans="1:12" x14ac:dyDescent="0.25">
      <c r="A20">
        <v>17</v>
      </c>
      <c r="B20" t="s">
        <v>96</v>
      </c>
      <c r="C20" t="s">
        <v>206</v>
      </c>
      <c r="D20" t="s">
        <v>83</v>
      </c>
      <c r="E20" s="3">
        <v>0.01</v>
      </c>
      <c r="H20" t="s">
        <v>97</v>
      </c>
      <c r="I20" t="s">
        <v>98</v>
      </c>
      <c r="J20" t="s">
        <v>99</v>
      </c>
      <c r="K20">
        <v>0.2</v>
      </c>
      <c r="L20" s="1">
        <f t="shared" si="0"/>
        <v>2</v>
      </c>
    </row>
    <row r="21" spans="1:12" x14ac:dyDescent="0.25">
      <c r="A21">
        <v>18</v>
      </c>
      <c r="B21" t="s">
        <v>100</v>
      </c>
      <c r="C21" t="s">
        <v>101</v>
      </c>
      <c r="D21" t="s">
        <v>83</v>
      </c>
      <c r="E21" s="3">
        <v>0.01</v>
      </c>
      <c r="H21" t="s">
        <v>102</v>
      </c>
      <c r="I21" t="s">
        <v>103</v>
      </c>
      <c r="J21" t="s">
        <v>104</v>
      </c>
      <c r="K21">
        <v>0.2</v>
      </c>
      <c r="L21" s="1">
        <f t="shared" si="0"/>
        <v>2</v>
      </c>
    </row>
    <row r="22" spans="1:12" x14ac:dyDescent="0.25">
      <c r="A22">
        <v>19</v>
      </c>
      <c r="B22" t="s">
        <v>105</v>
      </c>
      <c r="C22" t="s">
        <v>106</v>
      </c>
      <c r="D22" t="s">
        <v>83</v>
      </c>
      <c r="E22" s="3">
        <v>0.01</v>
      </c>
      <c r="H22" t="s">
        <v>107</v>
      </c>
      <c r="I22" t="s">
        <v>108</v>
      </c>
      <c r="J22" t="s">
        <v>109</v>
      </c>
      <c r="K22">
        <v>0.2</v>
      </c>
      <c r="L22" s="1">
        <f t="shared" si="0"/>
        <v>2</v>
      </c>
    </row>
    <row r="23" spans="1:12" x14ac:dyDescent="0.25">
      <c r="A23">
        <v>20</v>
      </c>
      <c r="B23" t="s">
        <v>110</v>
      </c>
      <c r="C23" t="s">
        <v>207</v>
      </c>
      <c r="D23" t="s">
        <v>83</v>
      </c>
      <c r="E23" s="3">
        <v>0.05</v>
      </c>
      <c r="H23" t="s">
        <v>111</v>
      </c>
      <c r="I23" t="s">
        <v>112</v>
      </c>
      <c r="J23" t="s">
        <v>113</v>
      </c>
      <c r="K23">
        <v>0.2</v>
      </c>
      <c r="L23" s="1">
        <f t="shared" si="0"/>
        <v>2</v>
      </c>
    </row>
    <row r="24" spans="1:12" x14ac:dyDescent="0.25">
      <c r="A24">
        <v>21</v>
      </c>
      <c r="B24" t="s">
        <v>114</v>
      </c>
      <c r="C24" t="s">
        <v>208</v>
      </c>
      <c r="D24" t="s">
        <v>83</v>
      </c>
      <c r="E24" s="3">
        <v>0.01</v>
      </c>
      <c r="H24" t="s">
        <v>115</v>
      </c>
      <c r="I24" t="s">
        <v>116</v>
      </c>
      <c r="J24" t="s">
        <v>117</v>
      </c>
      <c r="K24">
        <v>0.1</v>
      </c>
      <c r="L24" s="1">
        <f t="shared" si="0"/>
        <v>1</v>
      </c>
    </row>
    <row r="25" spans="1:12" x14ac:dyDescent="0.25">
      <c r="A25">
        <v>22</v>
      </c>
      <c r="B25" t="s">
        <v>118</v>
      </c>
      <c r="C25" t="s">
        <v>119</v>
      </c>
      <c r="D25" t="s">
        <v>83</v>
      </c>
      <c r="E25" s="2" t="s">
        <v>120</v>
      </c>
      <c r="G25" t="s">
        <v>121</v>
      </c>
      <c r="H25" t="s">
        <v>122</v>
      </c>
      <c r="I25" t="s">
        <v>123</v>
      </c>
      <c r="J25" t="s">
        <v>124</v>
      </c>
      <c r="K25">
        <v>0.1</v>
      </c>
      <c r="L25" s="1">
        <f t="shared" si="0"/>
        <v>1</v>
      </c>
    </row>
    <row r="26" spans="1:12" x14ac:dyDescent="0.25">
      <c r="A26">
        <v>23</v>
      </c>
      <c r="B26" t="s">
        <v>125</v>
      </c>
      <c r="C26" t="s">
        <v>209</v>
      </c>
      <c r="D26" t="s">
        <v>83</v>
      </c>
      <c r="E26" s="3">
        <v>0.01</v>
      </c>
      <c r="H26" t="s">
        <v>126</v>
      </c>
      <c r="I26" t="s">
        <v>127</v>
      </c>
      <c r="J26" t="s">
        <v>128</v>
      </c>
      <c r="K26">
        <v>0.1</v>
      </c>
      <c r="L26" s="1">
        <f t="shared" si="0"/>
        <v>1</v>
      </c>
    </row>
    <row r="27" spans="1:12" x14ac:dyDescent="0.25">
      <c r="A27">
        <v>24</v>
      </c>
      <c r="B27" t="s">
        <v>129</v>
      </c>
      <c r="C27" t="s">
        <v>130</v>
      </c>
      <c r="D27" t="s">
        <v>83</v>
      </c>
      <c r="E27" s="3">
        <v>0.01</v>
      </c>
      <c r="H27" t="s">
        <v>131</v>
      </c>
      <c r="I27" t="s">
        <v>132</v>
      </c>
      <c r="J27" t="s">
        <v>133</v>
      </c>
      <c r="K27">
        <v>0.1</v>
      </c>
      <c r="L27" s="1">
        <f t="shared" si="0"/>
        <v>1</v>
      </c>
    </row>
    <row r="28" spans="1:12" x14ac:dyDescent="0.25">
      <c r="A28">
        <v>25</v>
      </c>
      <c r="B28" t="s">
        <v>134</v>
      </c>
      <c r="C28" t="s">
        <v>210</v>
      </c>
      <c r="D28" t="s">
        <v>83</v>
      </c>
      <c r="E28" s="3">
        <v>0.01</v>
      </c>
      <c r="H28" t="s">
        <v>135</v>
      </c>
      <c r="I28" t="s">
        <v>136</v>
      </c>
      <c r="J28" t="s">
        <v>137</v>
      </c>
      <c r="K28">
        <v>0.1</v>
      </c>
      <c r="L28" s="1">
        <f t="shared" si="0"/>
        <v>1</v>
      </c>
    </row>
    <row r="29" spans="1:12" x14ac:dyDescent="0.25">
      <c r="A29">
        <v>26</v>
      </c>
      <c r="B29" t="s">
        <v>138</v>
      </c>
      <c r="C29" t="s">
        <v>211</v>
      </c>
      <c r="D29" t="s">
        <v>83</v>
      </c>
      <c r="E29" s="3">
        <v>0.05</v>
      </c>
      <c r="H29" t="s">
        <v>139</v>
      </c>
      <c r="I29" t="s">
        <v>140</v>
      </c>
      <c r="J29" t="s">
        <v>141</v>
      </c>
      <c r="K29">
        <v>0.1</v>
      </c>
      <c r="L29" s="1">
        <f t="shared" si="0"/>
        <v>1</v>
      </c>
    </row>
    <row r="30" spans="1:12" x14ac:dyDescent="0.25">
      <c r="A30">
        <v>27</v>
      </c>
      <c r="B30" t="s">
        <v>142</v>
      </c>
      <c r="C30" t="s">
        <v>143</v>
      </c>
      <c r="D30" t="s">
        <v>144</v>
      </c>
      <c r="H30" t="s">
        <v>145</v>
      </c>
      <c r="I30" t="s">
        <v>146</v>
      </c>
      <c r="J30" t="s">
        <v>147</v>
      </c>
      <c r="K30">
        <v>0.2</v>
      </c>
      <c r="L30" s="1">
        <f t="shared" si="0"/>
        <v>2</v>
      </c>
    </row>
    <row r="31" spans="1:12" x14ac:dyDescent="0.25">
      <c r="A31">
        <v>28</v>
      </c>
      <c r="B31" t="s">
        <v>148</v>
      </c>
      <c r="C31" t="s">
        <v>149</v>
      </c>
      <c r="D31" t="s">
        <v>150</v>
      </c>
      <c r="H31" t="s">
        <v>151</v>
      </c>
      <c r="I31" t="s">
        <v>152</v>
      </c>
      <c r="J31" t="s">
        <v>153</v>
      </c>
      <c r="K31">
        <v>0.1</v>
      </c>
      <c r="L31" s="1">
        <f t="shared" si="0"/>
        <v>1</v>
      </c>
    </row>
    <row r="32" spans="1:12" x14ac:dyDescent="0.25">
      <c r="A32">
        <v>29</v>
      </c>
      <c r="B32" t="s">
        <v>154</v>
      </c>
      <c r="C32" t="s">
        <v>155</v>
      </c>
      <c r="D32" t="s">
        <v>156</v>
      </c>
      <c r="H32" t="s">
        <v>157</v>
      </c>
      <c r="I32" t="s">
        <v>158</v>
      </c>
      <c r="J32" t="s">
        <v>159</v>
      </c>
      <c r="K32">
        <v>0.1</v>
      </c>
      <c r="L32" s="1">
        <f t="shared" si="0"/>
        <v>1</v>
      </c>
    </row>
    <row r="33" spans="1:12" x14ac:dyDescent="0.25">
      <c r="A33">
        <v>30</v>
      </c>
      <c r="B33" t="s">
        <v>160</v>
      </c>
      <c r="C33" t="s">
        <v>161</v>
      </c>
      <c r="D33" t="s">
        <v>162</v>
      </c>
      <c r="H33" t="s">
        <v>163</v>
      </c>
      <c r="I33" t="s">
        <v>164</v>
      </c>
      <c r="J33" t="s">
        <v>165</v>
      </c>
      <c r="K33">
        <v>0.1</v>
      </c>
      <c r="L33" s="1">
        <f t="shared" si="0"/>
        <v>1</v>
      </c>
    </row>
    <row r="34" spans="1:12" x14ac:dyDescent="0.25">
      <c r="A34">
        <v>31</v>
      </c>
      <c r="B34" t="s">
        <v>166</v>
      </c>
      <c r="C34" t="s">
        <v>167</v>
      </c>
      <c r="D34" t="s">
        <v>168</v>
      </c>
      <c r="H34" t="s">
        <v>169</v>
      </c>
      <c r="I34" t="s">
        <v>170</v>
      </c>
      <c r="J34" t="s">
        <v>171</v>
      </c>
      <c r="K34">
        <v>0.1</v>
      </c>
      <c r="L34" s="1">
        <f t="shared" si="0"/>
        <v>1</v>
      </c>
    </row>
    <row r="35" spans="1:12" x14ac:dyDescent="0.25">
      <c r="A35">
        <v>32</v>
      </c>
      <c r="B35" t="s">
        <v>172</v>
      </c>
      <c r="C35" t="s">
        <v>173</v>
      </c>
      <c r="D35" t="s">
        <v>174</v>
      </c>
      <c r="H35" t="s">
        <v>175</v>
      </c>
      <c r="I35" t="s">
        <v>176</v>
      </c>
      <c r="J35" t="s">
        <v>177</v>
      </c>
      <c r="K35">
        <v>0.2</v>
      </c>
      <c r="L35" s="1">
        <f t="shared" si="0"/>
        <v>2</v>
      </c>
    </row>
    <row r="36" spans="1:12" x14ac:dyDescent="0.25">
      <c r="A36">
        <v>33</v>
      </c>
      <c r="B36" t="s">
        <v>178</v>
      </c>
      <c r="C36" t="s">
        <v>179</v>
      </c>
      <c r="D36" t="s">
        <v>180</v>
      </c>
      <c r="H36" t="s">
        <v>181</v>
      </c>
      <c r="I36" t="s">
        <v>182</v>
      </c>
      <c r="J36" t="s">
        <v>183</v>
      </c>
      <c r="K36">
        <v>0.1</v>
      </c>
      <c r="L36" s="1">
        <f t="shared" si="0"/>
        <v>1</v>
      </c>
    </row>
    <row r="37" spans="1:12" x14ac:dyDescent="0.25">
      <c r="A37">
        <v>34</v>
      </c>
      <c r="B37" t="s">
        <v>184</v>
      </c>
      <c r="C37" t="s">
        <v>185</v>
      </c>
      <c r="D37" t="s">
        <v>186</v>
      </c>
      <c r="H37" t="s">
        <v>187</v>
      </c>
      <c r="I37" t="s">
        <v>188</v>
      </c>
      <c r="J37" t="s">
        <v>189</v>
      </c>
      <c r="K37">
        <v>0.1</v>
      </c>
      <c r="L37" s="1">
        <f t="shared" si="0"/>
        <v>1</v>
      </c>
    </row>
    <row r="38" spans="1:12" x14ac:dyDescent="0.25">
      <c r="A38">
        <v>35</v>
      </c>
      <c r="B38" t="s">
        <v>190</v>
      </c>
      <c r="C38" s="7" t="s">
        <v>221</v>
      </c>
      <c r="D38" t="s">
        <v>191</v>
      </c>
      <c r="H38" t="s">
        <v>192</v>
      </c>
      <c r="I38" t="s">
        <v>193</v>
      </c>
      <c r="J38" t="s">
        <v>194</v>
      </c>
      <c r="K38">
        <v>0.1</v>
      </c>
      <c r="L38" s="1">
        <f t="shared" si="0"/>
        <v>1</v>
      </c>
    </row>
    <row r="39" spans="1:12" x14ac:dyDescent="0.25">
      <c r="A39">
        <v>36</v>
      </c>
      <c r="B39" t="s">
        <v>195</v>
      </c>
      <c r="C39" s="7" t="s">
        <v>222</v>
      </c>
      <c r="D39" t="s">
        <v>191</v>
      </c>
      <c r="H39" t="s">
        <v>192</v>
      </c>
      <c r="I39" t="s">
        <v>193</v>
      </c>
      <c r="J39" t="s">
        <v>194</v>
      </c>
      <c r="K39">
        <v>0.1</v>
      </c>
      <c r="L39" s="1">
        <f t="shared" si="0"/>
        <v>1</v>
      </c>
    </row>
    <row r="42" spans="1:12" x14ac:dyDescent="0.25">
      <c r="B42" s="6" t="s">
        <v>219</v>
      </c>
    </row>
    <row r="43" spans="1:12" x14ac:dyDescent="0.25">
      <c r="B43" t="s">
        <v>220</v>
      </c>
    </row>
  </sheetData>
  <hyperlinks>
    <hyperlink ref="H14" r:id="rId1" xr:uid="{CF9E1018-4AC1-4081-8BD4-1BAC968B716E}"/>
    <hyperlink ref="H15" r:id="rId2" xr:uid="{1423ADA9-FDC7-4460-9563-FDC1F824D9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diffProbe10MHz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Versteeg</dc:creator>
  <cp:lastModifiedBy>Paul Versteeg</cp:lastModifiedBy>
  <dcterms:created xsi:type="dcterms:W3CDTF">2025-10-13T13:29:36Z</dcterms:created>
  <dcterms:modified xsi:type="dcterms:W3CDTF">2025-11-15T14:43:06Z</dcterms:modified>
</cp:coreProperties>
</file>